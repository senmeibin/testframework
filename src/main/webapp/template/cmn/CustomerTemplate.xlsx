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285" windowWidth="14805" windowHeight="7200"/>
  </bookViews>
  <sheets>
    <sheet name="合同客户数据" sheetId="2" r:id="rId1"/>
    <sheet name="data" sheetId="3" r:id="rId2"/>
  </sheets>
  <calcPr calcId="152511"/>
</workbook>
</file>

<file path=xl/calcChain.xml><?xml version="1.0" encoding="utf-8"?>
<calcChain xmlns="http://schemas.openxmlformats.org/spreadsheetml/2006/main">
  <c r="M19" i="2" l="1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<sst xmlns="http://schemas.openxmlformats.org/spreadsheetml/2006/main" count="98" uniqueCount="64">
  <si>
    <t>联系电话</t>
    <phoneticPr fontId="1" type="noConversion"/>
  </si>
  <si>
    <t>客户简称</t>
    <phoneticPr fontId="1" type="noConversion"/>
  </si>
  <si>
    <t>客户地址</t>
    <phoneticPr fontId="1" type="noConversion"/>
  </si>
  <si>
    <t>开票抬头</t>
    <phoneticPr fontId="1" type="noConversion"/>
  </si>
  <si>
    <t>开票地址</t>
    <phoneticPr fontId="1" type="noConversion"/>
  </si>
  <si>
    <t>开票电话</t>
    <phoneticPr fontId="1" type="noConversion"/>
  </si>
  <si>
    <t>开户行</t>
    <phoneticPr fontId="1" type="noConversion"/>
  </si>
  <si>
    <t>开户账号</t>
    <phoneticPr fontId="1" type="noConversion"/>
  </si>
  <si>
    <t>开户税号</t>
    <phoneticPr fontId="1" type="noConversion"/>
  </si>
  <si>
    <t>所属行业</t>
    <phoneticPr fontId="1" type="noConversion"/>
  </si>
  <si>
    <t>备注</t>
    <phoneticPr fontId="1" type="noConversion"/>
  </si>
  <si>
    <t>03</t>
    <phoneticPr fontId="1" type="noConversion"/>
  </si>
  <si>
    <t>银行/保险/证券</t>
  </si>
  <si>
    <t>泛金融</t>
  </si>
  <si>
    <t>客户名称</t>
    <phoneticPr fontId="1" type="noConversion"/>
  </si>
  <si>
    <t>小区分名称</t>
    <phoneticPr fontId="1" type="noConversion"/>
  </si>
  <si>
    <t>小区分CD</t>
    <phoneticPr fontId="1" type="noConversion"/>
  </si>
  <si>
    <t>大区分CD</t>
    <phoneticPr fontId="1" type="noConversion"/>
  </si>
  <si>
    <t>大区分名称</t>
    <phoneticPr fontId="1" type="noConversion"/>
  </si>
  <si>
    <t>表示顺序</t>
    <phoneticPr fontId="1" type="noConversion"/>
  </si>
  <si>
    <t>互联网/电子商务</t>
  </si>
  <si>
    <t>01</t>
    <phoneticPr fontId="1" type="noConversion"/>
  </si>
  <si>
    <t>CM001</t>
    <phoneticPr fontId="1" type="noConversion"/>
  </si>
  <si>
    <t>客户所属行业</t>
    <phoneticPr fontId="1" type="noConversion"/>
  </si>
  <si>
    <t>IT/电子</t>
  </si>
  <si>
    <t>02</t>
    <phoneticPr fontId="1" type="noConversion"/>
  </si>
  <si>
    <t>客户所属行业</t>
    <phoneticPr fontId="1" type="noConversion"/>
  </si>
  <si>
    <t>通信运营</t>
  </si>
  <si>
    <t>04</t>
  </si>
  <si>
    <t>CM001</t>
  </si>
  <si>
    <t>05</t>
    <phoneticPr fontId="1" type="noConversion"/>
  </si>
  <si>
    <t>地产</t>
  </si>
  <si>
    <t>06</t>
  </si>
  <si>
    <t>交通/运输</t>
  </si>
  <si>
    <t>07</t>
  </si>
  <si>
    <t>物流/速递</t>
  </si>
  <si>
    <t>08</t>
  </si>
  <si>
    <t>快消</t>
  </si>
  <si>
    <t>09</t>
  </si>
  <si>
    <t>零售/百货</t>
  </si>
  <si>
    <t>10</t>
  </si>
  <si>
    <t>餐饮/酒店/旅游业</t>
  </si>
  <si>
    <t>11</t>
  </si>
  <si>
    <t>医药/保健</t>
  </si>
  <si>
    <t>12</t>
  </si>
  <si>
    <t>教育</t>
  </si>
  <si>
    <t>13</t>
  </si>
  <si>
    <t>公共事业</t>
  </si>
  <si>
    <t>14</t>
    <phoneticPr fontId="1" type="noConversion"/>
  </si>
  <si>
    <t>BPO</t>
  </si>
  <si>
    <t>15</t>
    <phoneticPr fontId="1" type="noConversion"/>
  </si>
  <si>
    <t>能源</t>
  </si>
  <si>
    <t>16</t>
  </si>
  <si>
    <t>汽车</t>
    <phoneticPr fontId="1" type="noConversion"/>
  </si>
  <si>
    <t>17</t>
  </si>
  <si>
    <t>其他</t>
    <phoneticPr fontId="1" type="noConversion"/>
  </si>
  <si>
    <t>行业代码</t>
    <phoneticPr fontId="1" type="noConversion"/>
  </si>
  <si>
    <t>人瑞集团</t>
    <phoneticPr fontId="1" type="noConversion"/>
  </si>
  <si>
    <t>人瑞</t>
    <phoneticPr fontId="1" type="noConversion"/>
  </si>
  <si>
    <t>上海</t>
    <phoneticPr fontId="1" type="noConversion"/>
  </si>
  <si>
    <t>上海人瑞</t>
    <phoneticPr fontId="1" type="noConversion"/>
  </si>
  <si>
    <t>中国银行</t>
    <phoneticPr fontId="1" type="noConversion"/>
  </si>
  <si>
    <t>1234567890012123123123</t>
    <phoneticPr fontId="1" type="noConversion"/>
  </si>
  <si>
    <t>T000123123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</si>
</sst>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protection locked="0"/>
    </xf>
    <xf numFmtId="43" fontId="3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vertical="center" wrapText="1"/>
    </xf>
    <xf numFmtId="0" fontId="0" fillId="0" borderId="1" xfId="0" quotePrefix="1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6" xfId="0" applyNumberForma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quotePrefix="1" applyNumberFormat="1" applyBorder="1" applyAlignment="1">
      <alignment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vertical="center"/>
    </xf>
    <xf numFmtId="49" fontId="0" fillId="0" borderId="10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</cellXfs>
  <cellStyles count="3">
    <cellStyle name="Normal_Sheet1" xfId="1"/>
    <cellStyle name="常规" xfId="0" builtinId="0"/>
    <cellStyle name="千位分隔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9"/>
  <sheetViews>
    <sheetView showGridLines="0" tabSelected="1" zoomScale="85" zoomScaleNormal="85" workbookViewId="0">
      <selection activeCell="F8" sqref="F8"/>
    </sheetView>
  </sheetViews>
  <sheetFormatPr defaultRowHeight="20.100000000000001" customHeight="1" x14ac:dyDescent="0.15"/>
  <cols>
    <col min="1" max="1" width="25.375" style="10" customWidth="1"/>
    <col min="2" max="2" width="17" style="14" customWidth="1"/>
    <col min="3" max="3" width="22.5" style="10" customWidth="1"/>
    <col min="4" max="4" width="16.625" style="14" customWidth="1"/>
    <col min="5" max="5" width="28.125" style="14" customWidth="1"/>
    <col min="6" max="6" width="26.75" style="14" customWidth="1"/>
    <col min="7" max="7" width="17.75" style="14" customWidth="1"/>
    <col min="8" max="8" width="23.375" style="14" customWidth="1"/>
    <col min="9" max="9" width="26.375" style="14" customWidth="1"/>
    <col min="10" max="10" width="18.5" style="14" customWidth="1"/>
    <col min="11" max="11" width="19.25" style="14" customWidth="1"/>
    <col min="12" max="12" width="22" style="10" customWidth="1"/>
    <col min="13" max="13" width="37" style="10" hidden="1" customWidth="1"/>
    <col min="14" max="16384" width="9" style="14"/>
  </cols>
  <sheetData>
    <row r="1" spans="1:13" ht="20.100000000000001" customHeight="1" x14ac:dyDescent="0.15">
      <c r="A1" s="12" t="s">
        <v>14</v>
      </c>
      <c r="B1" s="13" t="s">
        <v>1</v>
      </c>
      <c r="C1" s="13" t="s">
        <v>2</v>
      </c>
      <c r="D1" s="13" t="s">
        <v>0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9" t="s">
        <v>10</v>
      </c>
      <c r="M1" s="11" t="s">
        <v>56</v>
      </c>
    </row>
    <row r="2" spans="1:13" ht="20.100000000000001" customHeight="1" x14ac:dyDescent="0.15">
      <c r="A2" s="15" t="s">
        <v>57</v>
      </c>
      <c r="B2" s="16" t="s">
        <v>58</v>
      </c>
      <c r="C2" s="17" t="s">
        <v>59</v>
      </c>
      <c r="D2" s="17">
        <v>123456789</v>
      </c>
      <c r="E2" s="16" t="s">
        <v>60</v>
      </c>
      <c r="F2" s="16" t="s">
        <v>59</v>
      </c>
      <c r="G2" s="18">
        <v>1234567890</v>
      </c>
      <c r="H2" s="16" t="s">
        <v>61</v>
      </c>
      <c r="I2" s="18" t="s">
        <v>62</v>
      </c>
      <c r="J2" s="18" t="s">
        <v>63</v>
      </c>
      <c r="K2" s="16" t="s">
        <v>51</v>
      </c>
      <c r="L2" s="19"/>
      <c r="M2" s="10" t="str">
        <f>IF(ROW() = 1, "行业代码",IFERROR(VLOOKUP(K2,data!A$2:B$19,2,FALSE),""))</f>
        <v>16</v>
      </c>
    </row>
    <row r="3" spans="1:13" ht="20.100000000000001" customHeight="1" x14ac:dyDescent="0.15">
      <c r="A3" s="15"/>
      <c r="B3" s="16"/>
      <c r="C3" s="17"/>
      <c r="D3" s="17"/>
      <c r="E3" s="16"/>
      <c r="F3" s="16"/>
      <c r="G3" s="16"/>
      <c r="H3" s="16"/>
      <c r="I3" s="16"/>
      <c r="J3" s="16"/>
      <c r="K3" s="16"/>
      <c r="L3" s="19"/>
      <c r="M3" s="10" t="str">
        <f>IF(ROW() = 1, "行业代码",IFERROR(VLOOKUP(K3,data!A$2:B$19,2,FALSE),""))</f>
        <v/>
      </c>
    </row>
    <row r="4" spans="1:13" ht="20.100000000000001" customHeight="1" x14ac:dyDescent="0.15">
      <c r="A4" s="15"/>
      <c r="B4" s="16"/>
      <c r="C4" s="17"/>
      <c r="D4" s="17"/>
      <c r="E4" s="16"/>
      <c r="F4" s="16"/>
      <c r="G4" s="16"/>
      <c r="H4" s="16"/>
      <c r="I4" s="16"/>
      <c r="J4" s="16"/>
      <c r="K4" s="16"/>
      <c r="L4" s="19"/>
      <c r="M4" s="10" t="str">
        <f>IF(ROW() = 1, "行业代码",IFERROR(VLOOKUP(K4,data!A$2:B$19,2,FALSE),""))</f>
        <v/>
      </c>
    </row>
    <row r="5" spans="1:13" ht="20.100000000000001" customHeight="1" x14ac:dyDescent="0.15">
      <c r="A5" s="15"/>
      <c r="B5" s="16"/>
      <c r="C5" s="17"/>
      <c r="D5" s="17"/>
      <c r="E5" s="16"/>
      <c r="F5" s="16"/>
      <c r="G5" s="16"/>
      <c r="H5" s="16"/>
      <c r="I5" s="16"/>
      <c r="J5" s="16"/>
      <c r="K5" s="16"/>
      <c r="L5" s="19"/>
      <c r="M5" s="10" t="str">
        <f>IF(ROW() = 1, "行业代码",IFERROR(VLOOKUP(K5,data!A$2:B$19,2,FALSE),""))</f>
        <v/>
      </c>
    </row>
    <row r="6" spans="1:13" ht="20.100000000000001" customHeight="1" x14ac:dyDescent="0.15">
      <c r="A6" s="15"/>
      <c r="B6" s="16"/>
      <c r="C6" s="17"/>
      <c r="D6" s="17"/>
      <c r="E6" s="16"/>
      <c r="F6" s="16"/>
      <c r="G6" s="16"/>
      <c r="H6" s="16"/>
      <c r="I6" s="16"/>
      <c r="J6" s="16"/>
      <c r="K6" s="16"/>
      <c r="L6" s="19"/>
      <c r="M6" s="10" t="str">
        <f>IF(ROW() = 1, "行业代码",IFERROR(VLOOKUP(K6,data!A$2:B$19,2,FALSE),""))</f>
        <v/>
      </c>
    </row>
    <row r="7" spans="1:13" ht="20.100000000000001" customHeight="1" x14ac:dyDescent="0.15">
      <c r="A7" s="15"/>
      <c r="B7" s="16"/>
      <c r="C7" s="17"/>
      <c r="D7" s="17"/>
      <c r="E7" s="16"/>
      <c r="F7" s="16"/>
      <c r="G7" s="16"/>
      <c r="H7" s="16"/>
      <c r="I7" s="16"/>
      <c r="J7" s="16"/>
      <c r="K7" s="16"/>
      <c r="L7" s="19"/>
      <c r="M7" s="10" t="str">
        <f>IF(ROW() = 1, "行业代码",IFERROR(VLOOKUP(K7,data!A$2:B$19,2,FALSE),""))</f>
        <v/>
      </c>
    </row>
    <row r="8" spans="1:13" ht="20.100000000000001" customHeight="1" x14ac:dyDescent="0.15">
      <c r="A8" s="15"/>
      <c r="B8" s="16"/>
      <c r="C8" s="17"/>
      <c r="D8" s="17"/>
      <c r="E8" s="16"/>
      <c r="F8" s="16"/>
      <c r="G8" s="16"/>
      <c r="H8" s="16"/>
      <c r="I8" s="16"/>
      <c r="J8" s="16"/>
      <c r="K8" s="16"/>
      <c r="L8" s="19"/>
      <c r="M8" s="10" t="str">
        <f>IF(ROW() = 1, "行业代码",IFERROR(VLOOKUP(K8,data!A$2:B$19,2,FALSE),""))</f>
        <v/>
      </c>
    </row>
    <row r="9" spans="1:13" ht="20.100000000000001" customHeight="1" x14ac:dyDescent="0.15">
      <c r="A9" s="15"/>
      <c r="B9" s="16"/>
      <c r="C9" s="17"/>
      <c r="D9" s="17"/>
      <c r="E9" s="16"/>
      <c r="F9" s="16"/>
      <c r="G9" s="16"/>
      <c r="H9" s="16"/>
      <c r="I9" s="16"/>
      <c r="J9" s="16"/>
      <c r="K9" s="16"/>
      <c r="L9" s="19"/>
      <c r="M9" s="10" t="str">
        <f>IF(ROW() = 1, "行业代码",IFERROR(VLOOKUP(K9,data!A$2:B$19,2,FALSE),""))</f>
        <v/>
      </c>
    </row>
    <row r="10" spans="1:13" ht="20.100000000000001" customHeight="1" x14ac:dyDescent="0.15">
      <c r="A10" s="15"/>
      <c r="B10" s="16"/>
      <c r="C10" s="17"/>
      <c r="D10" s="17"/>
      <c r="E10" s="16"/>
      <c r="F10" s="16"/>
      <c r="G10" s="16"/>
      <c r="H10" s="16"/>
      <c r="I10" s="16"/>
      <c r="J10" s="16"/>
      <c r="K10" s="16"/>
      <c r="L10" s="19"/>
      <c r="M10" s="10" t="str">
        <f>IF(ROW() = 1, "行业代码",IFERROR(VLOOKUP(K10,data!A$2:B$19,2,FALSE),""))</f>
        <v/>
      </c>
    </row>
    <row r="11" spans="1:13" ht="20.100000000000001" customHeight="1" x14ac:dyDescent="0.15">
      <c r="A11" s="15"/>
      <c r="B11" s="16"/>
      <c r="C11" s="17"/>
      <c r="D11" s="17"/>
      <c r="E11" s="16"/>
      <c r="F11" s="16"/>
      <c r="G11" s="16"/>
      <c r="H11" s="16"/>
      <c r="I11" s="16"/>
      <c r="J11" s="16"/>
      <c r="K11" s="16"/>
      <c r="L11" s="19"/>
      <c r="M11" s="10" t="str">
        <f>IF(ROW() = 1, "行业代码",IFERROR(VLOOKUP(K11,data!A$2:B$19,2,FALSE),""))</f>
        <v/>
      </c>
    </row>
    <row r="12" spans="1:13" ht="20.100000000000001" customHeight="1" x14ac:dyDescent="0.15">
      <c r="A12" s="15"/>
      <c r="B12" s="16"/>
      <c r="C12" s="17"/>
      <c r="D12" s="17"/>
      <c r="E12" s="16"/>
      <c r="F12" s="16"/>
      <c r="G12" s="16"/>
      <c r="H12" s="16"/>
      <c r="I12" s="16"/>
      <c r="J12" s="16"/>
      <c r="K12" s="16"/>
      <c r="L12" s="19"/>
      <c r="M12" s="10" t="str">
        <f>IF(ROW() = 1, "行业代码",IFERROR(VLOOKUP(K12,data!A$2:B$19,2,FALSE),""))</f>
        <v/>
      </c>
    </row>
    <row r="13" spans="1:13" ht="20.100000000000001" customHeight="1" x14ac:dyDescent="0.15">
      <c r="A13" s="20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23"/>
      <c r="M13" s="10" t="str">
        <f>IF(ROW() = 1, "行业代码",IFERROR(VLOOKUP(K13,data!A$2:B$19,2,FALSE),""))</f>
        <v/>
      </c>
    </row>
    <row r="14" spans="1:13" ht="20.100000000000001" customHeight="1" x14ac:dyDescent="0.15">
      <c r="M14" s="10" t="str">
        <f>IF(ROW() = 1, "行业代码",IFERROR(VLOOKUP(K14,data!A$2:B$19,2,FALSE),""))</f>
        <v/>
      </c>
    </row>
    <row r="15" spans="1:13" ht="20.100000000000001" customHeight="1" x14ac:dyDescent="0.15">
      <c r="M15" s="10" t="str">
        <f>IF(ROW() = 1, "行业代码",IFERROR(VLOOKUP(K15,data!A$2:B$19,2,FALSE),""))</f>
        <v/>
      </c>
    </row>
    <row r="16" spans="1:13" ht="20.100000000000001" customHeight="1" x14ac:dyDescent="0.15">
      <c r="M16" s="10" t="str">
        <f>IF(ROW() = 1, "行业代码",IFERROR(VLOOKUP(K16,data!A$2:B$19,2,FALSE),""))</f>
        <v/>
      </c>
    </row>
    <row r="17" spans="13:13" ht="20.100000000000001" customHeight="1" x14ac:dyDescent="0.15">
      <c r="M17" s="10" t="str">
        <f>IF(ROW() = 1, "行业代码",IFERROR(VLOOKUP(K17,data!A$2:B$19,2,FALSE),""))</f>
        <v/>
      </c>
    </row>
    <row r="18" spans="13:13" ht="20.100000000000001" customHeight="1" x14ac:dyDescent="0.15">
      <c r="M18" s="10" t="str">
        <f>IF(ROW() = 1, "行业代码",IFERROR(VLOOKUP(K18,data!A$2:B$19,2,FALSE),""))</f>
        <v/>
      </c>
    </row>
    <row r="19" spans="13:13" ht="20.100000000000001" customHeight="1" x14ac:dyDescent="0.15">
      <c r="M19" s="10" t="str">
        <f>IF(ROW() = 1, "行业代码",IFERROR(VLOOKUP(K19,data!A$2:B$19,2,FALSE),""))</f>
        <v/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data!$A$2:$A$19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G3" sqref="G3"/>
    </sheetView>
  </sheetViews>
  <sheetFormatPr defaultRowHeight="13.5" x14ac:dyDescent="0.15"/>
  <cols>
    <col min="1" max="1" width="23.75" customWidth="1"/>
    <col min="2" max="2" width="10.75" customWidth="1"/>
    <col min="4" max="4" width="11.875" bestFit="1" customWidth="1"/>
    <col min="5" max="5" width="9.75" bestFit="1" customWidth="1"/>
  </cols>
  <sheetData>
    <row r="1" spans="1:5" x14ac:dyDescent="0.15">
      <c r="A1" s="2" t="s">
        <v>15</v>
      </c>
      <c r="B1" s="2" t="s">
        <v>16</v>
      </c>
      <c r="C1" s="1" t="s">
        <v>17</v>
      </c>
      <c r="D1" s="2" t="s">
        <v>18</v>
      </c>
      <c r="E1" s="2" t="s">
        <v>19</v>
      </c>
    </row>
    <row r="2" spans="1:5" x14ac:dyDescent="0.15">
      <c r="A2" s="3" t="s">
        <v>20</v>
      </c>
      <c r="B2" s="4" t="s">
        <v>21</v>
      </c>
      <c r="C2" s="5" t="s">
        <v>22</v>
      </c>
      <c r="D2" s="3" t="s">
        <v>23</v>
      </c>
      <c r="E2" s="3">
        <v>1</v>
      </c>
    </row>
    <row r="3" spans="1:5" x14ac:dyDescent="0.15">
      <c r="A3" s="3" t="s">
        <v>24</v>
      </c>
      <c r="B3" s="4" t="s">
        <v>25</v>
      </c>
      <c r="C3" s="5" t="s">
        <v>22</v>
      </c>
      <c r="D3" s="3" t="s">
        <v>26</v>
      </c>
      <c r="E3" s="3">
        <v>2</v>
      </c>
    </row>
    <row r="4" spans="1:5" x14ac:dyDescent="0.15">
      <c r="A4" s="3" t="s">
        <v>27</v>
      </c>
      <c r="B4" s="4" t="s">
        <v>11</v>
      </c>
      <c r="C4" s="5" t="s">
        <v>22</v>
      </c>
      <c r="D4" s="3" t="s">
        <v>23</v>
      </c>
      <c r="E4" s="3">
        <v>3</v>
      </c>
    </row>
    <row r="5" spans="1:5" x14ac:dyDescent="0.15">
      <c r="A5" s="3" t="s">
        <v>12</v>
      </c>
      <c r="B5" s="4" t="s">
        <v>28</v>
      </c>
      <c r="C5" s="5" t="s">
        <v>29</v>
      </c>
      <c r="D5" s="3" t="s">
        <v>26</v>
      </c>
      <c r="E5" s="3">
        <v>4</v>
      </c>
    </row>
    <row r="6" spans="1:5" x14ac:dyDescent="0.15">
      <c r="A6" s="3" t="s">
        <v>13</v>
      </c>
      <c r="B6" s="4" t="s">
        <v>30</v>
      </c>
      <c r="C6" s="5" t="s">
        <v>29</v>
      </c>
      <c r="D6" s="3" t="s">
        <v>23</v>
      </c>
      <c r="E6" s="3">
        <v>5</v>
      </c>
    </row>
    <row r="7" spans="1:5" x14ac:dyDescent="0.15">
      <c r="A7" s="3" t="s">
        <v>31</v>
      </c>
      <c r="B7" s="4" t="s">
        <v>32</v>
      </c>
      <c r="C7" s="5" t="s">
        <v>29</v>
      </c>
      <c r="D7" s="3" t="s">
        <v>23</v>
      </c>
      <c r="E7" s="3">
        <v>6</v>
      </c>
    </row>
    <row r="8" spans="1:5" x14ac:dyDescent="0.15">
      <c r="A8" s="6" t="s">
        <v>33</v>
      </c>
      <c r="B8" s="4" t="s">
        <v>34</v>
      </c>
      <c r="C8" s="5" t="s">
        <v>29</v>
      </c>
      <c r="D8" s="3" t="s">
        <v>26</v>
      </c>
      <c r="E8" s="3">
        <v>7</v>
      </c>
    </row>
    <row r="9" spans="1:5" x14ac:dyDescent="0.15">
      <c r="A9" s="6" t="s">
        <v>35</v>
      </c>
      <c r="B9" s="4" t="s">
        <v>36</v>
      </c>
      <c r="C9" s="5" t="s">
        <v>29</v>
      </c>
      <c r="D9" s="3" t="s">
        <v>26</v>
      </c>
      <c r="E9" s="3">
        <v>8</v>
      </c>
    </row>
    <row r="10" spans="1:5" x14ac:dyDescent="0.15">
      <c r="A10" s="6" t="s">
        <v>37</v>
      </c>
      <c r="B10" s="4" t="s">
        <v>38</v>
      </c>
      <c r="C10" s="5" t="s">
        <v>29</v>
      </c>
      <c r="D10" s="3" t="s">
        <v>23</v>
      </c>
      <c r="E10" s="3">
        <v>9</v>
      </c>
    </row>
    <row r="11" spans="1:5" x14ac:dyDescent="0.15">
      <c r="A11" s="6" t="s">
        <v>39</v>
      </c>
      <c r="B11" s="4" t="s">
        <v>40</v>
      </c>
      <c r="C11" s="5" t="s">
        <v>29</v>
      </c>
      <c r="D11" s="3" t="s">
        <v>23</v>
      </c>
      <c r="E11" s="3">
        <v>10</v>
      </c>
    </row>
    <row r="12" spans="1:5" x14ac:dyDescent="0.15">
      <c r="A12" s="6" t="s">
        <v>41</v>
      </c>
      <c r="B12" s="4" t="s">
        <v>42</v>
      </c>
      <c r="C12" s="5" t="s">
        <v>29</v>
      </c>
      <c r="D12" s="3" t="s">
        <v>23</v>
      </c>
      <c r="E12" s="3">
        <v>11</v>
      </c>
    </row>
    <row r="13" spans="1:5" x14ac:dyDescent="0.15">
      <c r="A13" s="6" t="s">
        <v>43</v>
      </c>
      <c r="B13" s="4" t="s">
        <v>44</v>
      </c>
      <c r="C13" s="5" t="s">
        <v>29</v>
      </c>
      <c r="D13" s="3" t="s">
        <v>23</v>
      </c>
      <c r="E13" s="3">
        <v>12</v>
      </c>
    </row>
    <row r="14" spans="1:5" x14ac:dyDescent="0.15">
      <c r="A14" s="6" t="s">
        <v>45</v>
      </c>
      <c r="B14" s="4" t="s">
        <v>46</v>
      </c>
      <c r="C14" s="5" t="s">
        <v>29</v>
      </c>
      <c r="D14" s="3" t="s">
        <v>23</v>
      </c>
      <c r="E14" s="3">
        <v>13</v>
      </c>
    </row>
    <row r="15" spans="1:5" x14ac:dyDescent="0.15">
      <c r="A15" s="6" t="s">
        <v>47</v>
      </c>
      <c r="B15" s="4" t="s">
        <v>48</v>
      </c>
      <c r="C15" s="5" t="s">
        <v>29</v>
      </c>
      <c r="D15" s="3" t="s">
        <v>26</v>
      </c>
      <c r="E15" s="3">
        <v>14</v>
      </c>
    </row>
    <row r="16" spans="1:5" x14ac:dyDescent="0.15">
      <c r="A16" s="6" t="s">
        <v>49</v>
      </c>
      <c r="B16" s="4" t="s">
        <v>50</v>
      </c>
      <c r="C16" s="5" t="s">
        <v>29</v>
      </c>
      <c r="D16" s="3" t="s">
        <v>23</v>
      </c>
      <c r="E16" s="3">
        <v>15</v>
      </c>
    </row>
    <row r="17" spans="1:5" x14ac:dyDescent="0.15">
      <c r="A17" s="6" t="s">
        <v>51</v>
      </c>
      <c r="B17" s="4" t="s">
        <v>52</v>
      </c>
      <c r="C17" s="5" t="s">
        <v>29</v>
      </c>
      <c r="D17" s="3" t="s">
        <v>23</v>
      </c>
      <c r="E17" s="3">
        <v>16</v>
      </c>
    </row>
    <row r="18" spans="1:5" x14ac:dyDescent="0.15">
      <c r="A18" s="7" t="s">
        <v>53</v>
      </c>
      <c r="B18" s="4" t="s">
        <v>54</v>
      </c>
      <c r="C18" s="5" t="s">
        <v>29</v>
      </c>
      <c r="D18" s="3" t="s">
        <v>26</v>
      </c>
      <c r="E18" s="3">
        <v>17</v>
      </c>
    </row>
    <row r="19" spans="1:5" x14ac:dyDescent="0.15">
      <c r="A19" s="7" t="s">
        <v>55</v>
      </c>
      <c r="B19" s="8">
        <v>99</v>
      </c>
      <c r="C19" s="5" t="s">
        <v>29</v>
      </c>
      <c r="D19" s="3" t="s">
        <v>23</v>
      </c>
      <c r="E19" s="3">
        <v>99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合同客户数据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2016-06-17T00:40:17Z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f24283c1-8a92-4218-a85b-f9d9dec9a87e</vt:lpwstr>
  </property>
</Properties>
</file>